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g09092\Downloads\"/>
    </mc:Choice>
  </mc:AlternateContent>
  <xr:revisionPtr revIDLastSave="0" documentId="8_{FF70BD15-4304-4BB8-85B4-4650C6EA1C33}" xr6:coauthVersionLast="47" xr6:coauthVersionMax="47" xr10:uidLastSave="{00000000-0000-0000-0000-000000000000}"/>
  <bookViews>
    <workbookView xWindow="-110" yWindow="-110" windowWidth="19420" windowHeight="10300" tabRatio="571" xr2:uid="{68F6CD84-DC55-4331-9C0D-039556932553}"/>
  </bookViews>
  <sheets>
    <sheet name="Planilha1" sheetId="1" r:id="rId1"/>
    <sheet name="Planilha2" sheetId="2" r:id="rId2"/>
  </sheets>
  <definedNames>
    <definedName name="Aporte">Planilha1!$D$10</definedName>
    <definedName name="patrimonio">Planilha1!$D$13</definedName>
    <definedName name="Qntd_anos">Planilha1!$D$11</definedName>
    <definedName name="Rendimento_Carteira">Planilha1!$D$6</definedName>
    <definedName name="salario">Planilha1!$D$5</definedName>
    <definedName name="sugestao_investimento">Planilha1!$D$7</definedName>
    <definedName name="Taxa_mensal">Planilha1!$D$12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28" i="1"/>
  <c r="D28" i="1" s="1"/>
  <c r="C29" i="1"/>
  <c r="D29" i="1" s="1"/>
  <c r="C30" i="1"/>
  <c r="D30" i="1" s="1"/>
  <c r="C31" i="1"/>
  <c r="D31" i="1" s="1"/>
  <c r="C32" i="1"/>
  <c r="D32" i="1" s="1"/>
  <c r="C27" i="1"/>
  <c r="D27" i="1" s="1"/>
  <c r="A3" i="2"/>
  <c r="A9" i="2"/>
  <c r="A10" i="2"/>
  <c r="A11" i="2"/>
  <c r="A12" i="2"/>
  <c r="A13" i="2"/>
  <c r="A14" i="2"/>
  <c r="A15" i="2"/>
  <c r="A16" i="2"/>
  <c r="A17" i="2"/>
  <c r="A18" i="2"/>
  <c r="A19" i="2"/>
  <c r="A20" i="2"/>
  <c r="A8" i="2"/>
  <c r="A4" i="2"/>
  <c r="A5" i="2"/>
  <c r="A6" i="2"/>
  <c r="A7" i="2"/>
  <c r="C24" i="1"/>
  <c r="D7" i="1"/>
  <c r="D13" i="1"/>
  <c r="D14" i="1" s="1"/>
  <c r="C18" i="1"/>
  <c r="D18" i="1" s="1"/>
  <c r="C19" i="1"/>
  <c r="D19" i="1" s="1"/>
  <c r="C20" i="1"/>
  <c r="D20" i="1" s="1"/>
  <c r="C21" i="1"/>
  <c r="D21" i="1" s="1"/>
  <c r="C17" i="1"/>
  <c r="D17" i="1" s="1"/>
</calcChain>
</file>

<file path=xl/sharedStrings.xml><?xml version="1.0" encoding="utf-8"?>
<sst xmlns="http://schemas.openxmlformats.org/spreadsheetml/2006/main" count="69" uniqueCount="35">
  <si>
    <t>Patrimônio acumulado</t>
  </si>
  <si>
    <t>Dividendos mensais</t>
  </si>
  <si>
    <t>INVESTIMENTO MENSAL</t>
  </si>
  <si>
    <t>Quanto investir por mês</t>
  </si>
  <si>
    <t>Por quantos anos</t>
  </si>
  <si>
    <t>Taxa de rendimento mensal</t>
  </si>
  <si>
    <t>2 anos</t>
  </si>
  <si>
    <t>5 anos</t>
  </si>
  <si>
    <t>10 anos</t>
  </si>
  <si>
    <t>20 anos</t>
  </si>
  <si>
    <t>30 anos</t>
  </si>
  <si>
    <t>CENÁRIOS</t>
  </si>
  <si>
    <t>DIVIDENDOS</t>
  </si>
  <si>
    <t>CONFIGURAÇÕES</t>
  </si>
  <si>
    <t>Rendimento carteira</t>
  </si>
  <si>
    <t>Salário</t>
  </si>
  <si>
    <t>Sugestão de investimento</t>
  </si>
  <si>
    <t>Perfil</t>
  </si>
  <si>
    <t>Agressivo</t>
  </si>
  <si>
    <t>Conservador</t>
  </si>
  <si>
    <t>Valor a ser investido mensalmente</t>
  </si>
  <si>
    <t>Tipo FII</t>
  </si>
  <si>
    <t>% sugerido</t>
  </si>
  <si>
    <t>Valores</t>
  </si>
  <si>
    <t>PAPEL</t>
  </si>
  <si>
    <t>TIJOLO</t>
  </si>
  <si>
    <t>FOFs</t>
  </si>
  <si>
    <t>DESENVOLVIMENTO</t>
  </si>
  <si>
    <t>HOTELARIA</t>
  </si>
  <si>
    <t>HÍBRIDO</t>
  </si>
  <si>
    <t>TIPO FII</t>
  </si>
  <si>
    <t>PERFIL</t>
  </si>
  <si>
    <t>%</t>
  </si>
  <si>
    <t>CHAVE COMPOSTO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</si>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</sst>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6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166" fontId="0" fillId="0" borderId="0" xfId="0" applyNumberFormat="1"/>
    <xf numFmtId="0" fontId="5" fillId="4" borderId="1" xfId="0" applyFont="1" applyFill="1" applyBorder="1"/>
    <xf numFmtId="0" fontId="5" fillId="4" borderId="4" xfId="0" applyFont="1" applyFill="1" applyBorder="1"/>
    <xf numFmtId="166" fontId="5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8" fontId="5" fillId="4" borderId="2" xfId="0" applyNumberFormat="1" applyFont="1" applyFill="1" applyBorder="1" applyAlignment="1">
      <alignment horizontal="center" vertical="center"/>
    </xf>
    <xf numFmtId="8" fontId="5" fillId="4" borderId="3" xfId="0" applyNumberFormat="1" applyFont="1" applyFill="1" applyBorder="1" applyAlignment="1">
      <alignment horizontal="center" vertical="center"/>
    </xf>
    <xf numFmtId="8" fontId="5" fillId="4" borderId="5" xfId="0" applyNumberFormat="1" applyFont="1" applyFill="1" applyBorder="1" applyAlignment="1">
      <alignment horizontal="center" vertical="center"/>
    </xf>
    <xf numFmtId="8" fontId="5" fillId="4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6" fontId="5" fillId="0" borderId="3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2" fillId="2" borderId="0" xfId="3" applyBorder="1"/>
    <xf numFmtId="0" fontId="2" fillId="2" borderId="0" xfId="3"/>
    <xf numFmtId="0" fontId="2" fillId="2" borderId="0" xfId="3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713E-73B8-4E7C-B102-1406B73D6ADC}">
  <dimension ref="A1:D33"/>
  <sheetViews>
    <sheetView showGridLines="0" tabSelected="1" topLeftCell="A16" workbookViewId="0">
      <selection activeCell="C33" sqref="C33"/>
    </sheetView>
  </sheetViews>
  <sheetFormatPr defaultRowHeight="14.5" x14ac:dyDescent="0.35"/>
  <cols>
    <col min="2" max="2" width="50.7265625" customWidth="1"/>
    <col min="3" max="3" width="40.1796875" customWidth="1"/>
    <col min="4" max="4" width="20.453125" customWidth="1"/>
    <col min="5" max="5" width="21.7265625" bestFit="1" customWidth="1"/>
    <col min="6" max="6" width="18.1796875" customWidth="1"/>
    <col min="8" max="16384" width="0" hidden="1" customWidth="1"/>
  </cols>
  <sheetData>
    <row r="1" spans="2:4" customFormat="1" x14ac:dyDescent="0.35"/>
    <row r="2" spans="2:4" customFormat="1" x14ac:dyDescent="0.35"/>
    <row r="3" spans="2:4" customFormat="1" ht="15" thickBot="1" x14ac:dyDescent="0.4"/>
    <row r="4" spans="2:4" customFormat="1" ht="26" x14ac:dyDescent="0.35">
      <c r="B4" s="25" t="s">
        <v>13</v>
      </c>
      <c r="C4" s="26"/>
      <c r="D4" s="27"/>
    </row>
    <row r="5" spans="2:4" customFormat="1" ht="16" x14ac:dyDescent="0.4">
      <c r="B5" s="20" t="s">
        <v>15</v>
      </c>
      <c r="C5" s="21"/>
      <c r="D5" s="8">
        <v>5000</v>
      </c>
    </row>
    <row r="6" spans="2:4" customFormat="1" ht="16" x14ac:dyDescent="0.4">
      <c r="B6" s="20" t="s">
        <v>14</v>
      </c>
      <c r="C6" s="21"/>
      <c r="D6" s="9">
        <v>0.01</v>
      </c>
    </row>
    <row r="7" spans="2:4" customFormat="1" ht="16.5" thickBot="1" x14ac:dyDescent="0.45">
      <c r="B7" s="22" t="s">
        <v>16</v>
      </c>
      <c r="C7" s="23"/>
      <c r="D7" s="10">
        <f>D5*30%</f>
        <v>1500</v>
      </c>
    </row>
    <row r="8" spans="2:4" customFormat="1" ht="15" thickBot="1" x14ac:dyDescent="0.4"/>
    <row r="9" spans="2:4" customFormat="1" ht="26" x14ac:dyDescent="0.35">
      <c r="B9" s="2" t="s">
        <v>2</v>
      </c>
      <c r="C9" s="3"/>
      <c r="D9" s="24"/>
    </row>
    <row r="10" spans="2:4" customFormat="1" ht="16" x14ac:dyDescent="0.4">
      <c r="B10" s="15" t="s">
        <v>3</v>
      </c>
      <c r="C10" s="16"/>
      <c r="D10" s="17">
        <v>500</v>
      </c>
    </row>
    <row r="11" spans="2:4" customFormat="1" ht="16" x14ac:dyDescent="0.4">
      <c r="B11" s="15" t="s">
        <v>4</v>
      </c>
      <c r="C11" s="16"/>
      <c r="D11" s="18">
        <v>5</v>
      </c>
    </row>
    <row r="12" spans="2:4" customFormat="1" ht="16" x14ac:dyDescent="0.4">
      <c r="B12" s="15" t="s">
        <v>5</v>
      </c>
      <c r="C12" s="16"/>
      <c r="D12" s="19">
        <v>1.0789999999999999E-2</v>
      </c>
    </row>
    <row r="13" spans="2:4" customFormat="1" ht="16" x14ac:dyDescent="0.4">
      <c r="B13" s="20" t="s">
        <v>0</v>
      </c>
      <c r="C13" s="21"/>
      <c r="D13" s="12">
        <f>FV(Taxa_mensal,Qntd_anos*12,Aporte*-1)</f>
        <v>41888.456999243819</v>
      </c>
    </row>
    <row r="14" spans="2:4" customFormat="1" ht="16.5" thickBot="1" x14ac:dyDescent="0.45">
      <c r="B14" s="22" t="s">
        <v>1</v>
      </c>
      <c r="C14" s="23"/>
      <c r="D14" s="14">
        <f>patrimonio*Rendimento_Carteira</f>
        <v>418.88456999243817</v>
      </c>
    </row>
    <row r="15" spans="2:4" customFormat="1" ht="15" thickBot="1" x14ac:dyDescent="0.4"/>
    <row r="16" spans="2:4" customFormat="1" ht="26" x14ac:dyDescent="0.35">
      <c r="B16" s="2" t="s">
        <v>11</v>
      </c>
      <c r="C16" s="3"/>
      <c r="D16" s="4" t="s">
        <v>12</v>
      </c>
    </row>
    <row r="17" spans="1:4" customFormat="1" ht="16" x14ac:dyDescent="0.4">
      <c r="A17" s="1">
        <v>2</v>
      </c>
      <c r="B17" s="6" t="s">
        <v>6</v>
      </c>
      <c r="C17" s="11">
        <f>FV($D$12,A17*12,$D$10*-1)</f>
        <v>13613.813648822608</v>
      </c>
      <c r="D17" s="12">
        <f>C17*Rendimento_Carteira</f>
        <v>136.13813648822608</v>
      </c>
    </row>
    <row r="18" spans="1:4" customFormat="1" ht="16" x14ac:dyDescent="0.4">
      <c r="A18" s="1">
        <v>5</v>
      </c>
      <c r="B18" s="6" t="s">
        <v>7</v>
      </c>
      <c r="C18" s="11">
        <f>FV($D$12,A18*12,$D$10*-1)</f>
        <v>41888.456999243819</v>
      </c>
      <c r="D18" s="12">
        <f>C18*Rendimento_Carteira</f>
        <v>418.88456999243817</v>
      </c>
    </row>
    <row r="19" spans="1:4" customFormat="1" ht="16" x14ac:dyDescent="0.4">
      <c r="A19" s="1">
        <v>10</v>
      </c>
      <c r="B19" s="6" t="s">
        <v>8</v>
      </c>
      <c r="C19" s="11">
        <f>FV($D$12,A19*12,$D$10*-1)</f>
        <v>121642.1062650861</v>
      </c>
      <c r="D19" s="12">
        <f>C19*Rendimento_Carteira</f>
        <v>1216.4210626508609</v>
      </c>
    </row>
    <row r="20" spans="1:4" customFormat="1" ht="16" x14ac:dyDescent="0.4">
      <c r="A20" s="1">
        <v>20</v>
      </c>
      <c r="B20" s="6" t="s">
        <v>9</v>
      </c>
      <c r="C20" s="11">
        <f>FV($D$12,A20*12,$D$10*-1)</f>
        <v>562599.20004854025</v>
      </c>
      <c r="D20" s="12">
        <f>C20*Rendimento_Carteira</f>
        <v>5625.992000485403</v>
      </c>
    </row>
    <row r="21" spans="1:4" customFormat="1" ht="16.5" thickBot="1" x14ac:dyDescent="0.45">
      <c r="A21" s="1">
        <v>30</v>
      </c>
      <c r="B21" s="7" t="s">
        <v>10</v>
      </c>
      <c r="C21" s="13">
        <f>FV($D$12,A21*12,$D$10*-1)</f>
        <v>2161084.8275023573</v>
      </c>
      <c r="D21" s="14">
        <f>C21*Rendimento_Carteira</f>
        <v>21610.848275023574</v>
      </c>
    </row>
    <row r="23" spans="1:4" x14ac:dyDescent="0.35">
      <c r="B23" s="29" t="s">
        <v>17</v>
      </c>
      <c r="C23" s="31" t="s">
        <v>19</v>
      </c>
      <c r="D23" s="30"/>
    </row>
    <row r="24" spans="1:4" ht="16" x14ac:dyDescent="0.4">
      <c r="B24" s="28" t="s">
        <v>20</v>
      </c>
      <c r="C24" s="32">
        <f>Aporte</f>
        <v>500</v>
      </c>
    </row>
    <row r="26" spans="1:4" x14ac:dyDescent="0.35">
      <c r="B26" s="35" t="s">
        <v>21</v>
      </c>
      <c r="C26" s="35" t="s">
        <v>22</v>
      </c>
      <c r="D26" s="35" t="s">
        <v>23</v>
      </c>
    </row>
    <row r="27" spans="1:4" x14ac:dyDescent="0.35">
      <c r="B27" t="s">
        <v>24</v>
      </c>
      <c r="C27" s="34">
        <f>VLOOKUP($C$23&amp;"-"&amp;B27,Planilha2!A2:D20,4,FALSE)</f>
        <v>0.3</v>
      </c>
      <c r="D27" s="5">
        <f>$C$24*C27</f>
        <v>150</v>
      </c>
    </row>
    <row r="28" spans="1:4" x14ac:dyDescent="0.35">
      <c r="B28" t="s">
        <v>25</v>
      </c>
      <c r="C28" s="34">
        <f>VLOOKUP($C$23&amp;"-"&amp;B28,Planilha2!A3:D21,4,FALSE)</f>
        <v>0.5</v>
      </c>
      <c r="D28" s="5">
        <f t="shared" ref="D28:D32" si="0">$C$24*C28</f>
        <v>250</v>
      </c>
    </row>
    <row r="29" spans="1:4" x14ac:dyDescent="0.35">
      <c r="B29" t="s">
        <v>29</v>
      </c>
      <c r="C29" s="34">
        <f>VLOOKUP($C$23&amp;"-"&amp;B29,Planilha2!A4:D22,4,FALSE)</f>
        <v>0.1</v>
      </c>
      <c r="D29" s="5">
        <f t="shared" si="0"/>
        <v>50</v>
      </c>
    </row>
    <row r="30" spans="1:4" x14ac:dyDescent="0.35">
      <c r="B30" t="s">
        <v>26</v>
      </c>
      <c r="C30" s="34">
        <f>VLOOKUP($C$23&amp;"-"&amp;B30,Planilha2!A5:D23,4,FALSE)</f>
        <v>0.1</v>
      </c>
      <c r="D30" s="5">
        <f t="shared" si="0"/>
        <v>50</v>
      </c>
    </row>
    <row r="31" spans="1:4" x14ac:dyDescent="0.35">
      <c r="B31" t="s">
        <v>27</v>
      </c>
      <c r="C31" s="34">
        <f>VLOOKUP($C$23&amp;"-"&amp;B31,Planilha2!A6:D24,4,FALSE)</f>
        <v>0</v>
      </c>
      <c r="D31" s="5">
        <f t="shared" si="0"/>
        <v>0</v>
      </c>
    </row>
    <row r="32" spans="1:4" x14ac:dyDescent="0.35">
      <c r="B32" t="s">
        <v>28</v>
      </c>
      <c r="C32" s="34">
        <f>VLOOKUP($C$23&amp;"-"&amp;B32,Planilha2!A7:D25,4,FALSE)</f>
        <v>0</v>
      </c>
      <c r="D32" s="5">
        <f t="shared" si="0"/>
        <v>0</v>
      </c>
    </row>
    <row r="33" spans="4:4" x14ac:dyDescent="0.35">
      <c r="D33" s="5">
        <f>SUM(D27:D32)</f>
        <v>500</v>
      </c>
    </row>
  </sheetData>
  <mergeCells count="11">
    <mergeCell ref="B9:D9"/>
    <mergeCell ref="B7:C7"/>
    <mergeCell ref="B6:C6"/>
    <mergeCell ref="B5:C5"/>
    <mergeCell ref="B4:D4"/>
    <mergeCell ref="B16:C16"/>
    <mergeCell ref="B10:C10"/>
    <mergeCell ref="B11:C11"/>
    <mergeCell ref="B12:C12"/>
    <mergeCell ref="B13:C13"/>
    <mergeCell ref="B14:C14"/>
  </mergeCells>
  <dataValidations count="1">
    <dataValidation type="list" allowBlank="1" showInputMessage="1" showErrorMessage="1" sqref="C23" xr:uid="{903B63F6-6DFA-42DF-AD5E-EEE4E668F07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F808-E58F-45B9-9655-3B3935FFAD69}">
  <dimension ref="A2:D20"/>
  <sheetViews>
    <sheetView topLeftCell="A5" workbookViewId="0">
      <selection activeCell="G12" sqref="G12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</cols>
  <sheetData>
    <row r="2" spans="1:4" x14ac:dyDescent="0.35">
      <c r="A2" t="s">
        <v>33</v>
      </c>
      <c r="B2" t="s">
        <v>31</v>
      </c>
      <c r="C2" t="s">
        <v>30</v>
      </c>
      <c r="D2" t="s">
        <v>32</v>
      </c>
    </row>
    <row r="3" spans="1:4" x14ac:dyDescent="0.35">
      <c r="A3" t="str">
        <f>B3&amp;"-"&amp;C3</f>
        <v>Conservador-PAPEL</v>
      </c>
      <c r="B3" t="s">
        <v>19</v>
      </c>
      <c r="C3" t="s">
        <v>24</v>
      </c>
      <c r="D3" s="34">
        <v>0.3</v>
      </c>
    </row>
    <row r="4" spans="1:4" x14ac:dyDescent="0.35">
      <c r="A4" t="str">
        <f t="shared" ref="A4:A7" si="0">B4&amp;"-"&amp;C4</f>
        <v>Conservador-TIJOLO</v>
      </c>
      <c r="B4" t="s">
        <v>19</v>
      </c>
      <c r="C4" t="s">
        <v>25</v>
      </c>
      <c r="D4" s="34">
        <v>0.5</v>
      </c>
    </row>
    <row r="5" spans="1:4" x14ac:dyDescent="0.35">
      <c r="A5" t="str">
        <f t="shared" si="0"/>
        <v>Conservador-HÍBRIDO</v>
      </c>
      <c r="B5" t="s">
        <v>19</v>
      </c>
      <c r="C5" t="s">
        <v>29</v>
      </c>
      <c r="D5" s="34">
        <v>0.1</v>
      </c>
    </row>
    <row r="6" spans="1:4" x14ac:dyDescent="0.35">
      <c r="A6" t="str">
        <f t="shared" si="0"/>
        <v>Conservador-FOFs</v>
      </c>
      <c r="B6" t="s">
        <v>19</v>
      </c>
      <c r="C6" t="s">
        <v>26</v>
      </c>
      <c r="D6" s="34">
        <v>0.1</v>
      </c>
    </row>
    <row r="7" spans="1:4" x14ac:dyDescent="0.35">
      <c r="A7" t="str">
        <f t="shared" si="0"/>
        <v>Conservador-DESENVOLVIMENTO</v>
      </c>
      <c r="B7" t="s">
        <v>19</v>
      </c>
      <c r="C7" t="s">
        <v>27</v>
      </c>
      <c r="D7" s="34">
        <v>0</v>
      </c>
    </row>
    <row r="8" spans="1:4" x14ac:dyDescent="0.35">
      <c r="A8" t="str">
        <f>B8&amp;"-"&amp;C8</f>
        <v>Conservador-HOTELARIA</v>
      </c>
      <c r="B8" t="s">
        <v>19</v>
      </c>
      <c r="C8" t="s">
        <v>28</v>
      </c>
      <c r="D8" s="34">
        <v>0</v>
      </c>
    </row>
    <row r="9" spans="1:4" x14ac:dyDescent="0.35">
      <c r="A9" t="str">
        <f t="shared" ref="A9:A20" si="1">B9&amp;"-"&amp;C9</f>
        <v>Moderado-PAPEL</v>
      </c>
      <c r="B9" t="s">
        <v>34</v>
      </c>
      <c r="C9" t="s">
        <v>24</v>
      </c>
      <c r="D9" s="33">
        <v>0.32</v>
      </c>
    </row>
    <row r="10" spans="1:4" x14ac:dyDescent="0.35">
      <c r="A10" t="str">
        <f t="shared" si="1"/>
        <v>Moderado-TIJOLO</v>
      </c>
      <c r="B10" t="s">
        <v>34</v>
      </c>
      <c r="C10" t="s">
        <v>25</v>
      </c>
      <c r="D10" s="33">
        <v>0.4</v>
      </c>
    </row>
    <row r="11" spans="1:4" x14ac:dyDescent="0.35">
      <c r="A11" t="str">
        <f t="shared" si="1"/>
        <v>Moderado-HÍBRIDO</v>
      </c>
      <c r="B11" t="s">
        <v>34</v>
      </c>
      <c r="C11" t="s">
        <v>29</v>
      </c>
      <c r="D11" s="33">
        <v>0.08</v>
      </c>
    </row>
    <row r="12" spans="1:4" x14ac:dyDescent="0.35">
      <c r="A12" t="str">
        <f t="shared" si="1"/>
        <v>Moderado-FOFs</v>
      </c>
      <c r="B12" t="s">
        <v>34</v>
      </c>
      <c r="C12" t="s">
        <v>26</v>
      </c>
      <c r="D12" s="33">
        <v>0.1</v>
      </c>
    </row>
    <row r="13" spans="1:4" x14ac:dyDescent="0.35">
      <c r="A13" t="str">
        <f t="shared" si="1"/>
        <v>Moderado-DESENVOLVIMENTO</v>
      </c>
      <c r="B13" t="s">
        <v>34</v>
      </c>
      <c r="C13" t="s">
        <v>27</v>
      </c>
      <c r="D13" s="33">
        <v>0.05</v>
      </c>
    </row>
    <row r="14" spans="1:4" x14ac:dyDescent="0.35">
      <c r="A14" t="str">
        <f t="shared" si="1"/>
        <v>Moderado-HOTELARIA</v>
      </c>
      <c r="B14" t="s">
        <v>34</v>
      </c>
      <c r="C14" t="s">
        <v>28</v>
      </c>
      <c r="D14" s="33">
        <v>0.05</v>
      </c>
    </row>
    <row r="15" spans="1:4" x14ac:dyDescent="0.35">
      <c r="A15" t="str">
        <f t="shared" si="1"/>
        <v>Agressivo-PAPEL</v>
      </c>
      <c r="B15" t="s">
        <v>18</v>
      </c>
      <c r="C15" t="s">
        <v>24</v>
      </c>
      <c r="D15" s="33">
        <v>0.5</v>
      </c>
    </row>
    <row r="16" spans="1:4" x14ac:dyDescent="0.35">
      <c r="A16" t="str">
        <f t="shared" si="1"/>
        <v>Agressivo-TIJOLO</v>
      </c>
      <c r="B16" t="s">
        <v>18</v>
      </c>
      <c r="C16" t="s">
        <v>25</v>
      </c>
      <c r="D16" s="33">
        <v>0.1</v>
      </c>
    </row>
    <row r="17" spans="1:4" x14ac:dyDescent="0.35">
      <c r="A17" t="str">
        <f t="shared" si="1"/>
        <v>Agressivo-HÍBRIDO</v>
      </c>
      <c r="B17" t="s">
        <v>18</v>
      </c>
      <c r="C17" t="s">
        <v>29</v>
      </c>
      <c r="D17" s="33">
        <v>0.05</v>
      </c>
    </row>
    <row r="18" spans="1:4" x14ac:dyDescent="0.35">
      <c r="A18" t="str">
        <f t="shared" si="1"/>
        <v>Agressivo-FOFs</v>
      </c>
      <c r="B18" t="s">
        <v>18</v>
      </c>
      <c r="C18" t="s">
        <v>26</v>
      </c>
      <c r="D18" s="33">
        <v>0.05</v>
      </c>
    </row>
    <row r="19" spans="1:4" x14ac:dyDescent="0.35">
      <c r="A19" t="str">
        <f t="shared" si="1"/>
        <v>Agressivo-DESENVOLVIMENTO</v>
      </c>
      <c r="B19" t="s">
        <v>18</v>
      </c>
      <c r="C19" t="s">
        <v>27</v>
      </c>
      <c r="D19" s="33">
        <v>0.2</v>
      </c>
    </row>
    <row r="20" spans="1:4" x14ac:dyDescent="0.35">
      <c r="A20" t="str">
        <f t="shared" si="1"/>
        <v>Agressivo-HOTELARIA</v>
      </c>
      <c r="B20" t="s">
        <v>18</v>
      </c>
      <c r="C20" t="s">
        <v>28</v>
      </c>
      <c r="D20" s="33">
        <v>0.1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Qntd_anos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Kunz Saboia, Sianna</dc:creator>
  <cp:lastModifiedBy>Kunz Saboia, Sianna</cp:lastModifiedBy>
  <dcterms:created xsi:type="dcterms:W3CDTF">2026-01-15T15:01:07Z</dcterms:created>
  <dcterms:modified xsi:type="dcterms:W3CDTF">2026-01-15T17:34:07Z</dcterms:modified>
</cp:coreProperties>
</file>